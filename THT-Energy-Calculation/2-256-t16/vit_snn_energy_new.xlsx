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ocal_GitHub\ICPP2026-THT-YixingLi\THT-Energy-Calculation\2-256-t16\"/>
    </mc:Choice>
  </mc:AlternateContent>
  <bookViews>
    <workbookView windowWidth="29730" windowHeight="14685"/>
  </bookViews>
  <sheets>
    <sheet name="vit_snn_energy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<sst xmlns="http://schemas.openxmlformats.org/spreadsheetml/2006/main" count="119" uniqueCount="71">
  <si>
    <t>Layer</t>
  </si>
  <si>
    <t>Type</t>
  </si>
  <si>
    <t>Firing_Rate</t>
  </si>
  <si>
    <t>k</t>
  </si>
  <si>
    <t>h</t>
  </si>
  <si>
    <t>w</t>
  </si>
  <si>
    <t>c1</t>
  </si>
  <si>
    <t>c2</t>
  </si>
  <si>
    <t>Power</t>
  </si>
  <si>
    <t>Power*T</t>
  </si>
  <si>
    <t>Power*T*E</t>
  </si>
  <si>
    <t>final_power_mJ</t>
  </si>
  <si>
    <t>patch_embed.proj_conv</t>
  </si>
  <si>
    <t>Conv</t>
  </si>
  <si>
    <t>patch_embed.proj_lif</t>
  </si>
  <si>
    <t>LIF</t>
  </si>
  <si>
    <t>patch_embed.proj_conv1</t>
  </si>
  <si>
    <t>patch_embed.proj_lif1</t>
  </si>
  <si>
    <t>patch_embed.proj_conv2</t>
  </si>
  <si>
    <t>patch_embed.proj_lif2</t>
  </si>
  <si>
    <t>patch_embed.proj_conv3</t>
  </si>
  <si>
    <t>patch_embed.proj_lif3</t>
  </si>
  <si>
    <t>patch_embed.rpe_conv</t>
  </si>
  <si>
    <t>patch_embed.rpe_lif</t>
  </si>
  <si>
    <t>block.0.attn.first_lif</t>
  </si>
  <si>
    <t>block.0.attn.q_conv</t>
  </si>
  <si>
    <t>block.0.attn.q_lif</t>
  </si>
  <si>
    <t>block.0.attn.k_conv</t>
  </si>
  <si>
    <t>block.0.attn.k_lif</t>
  </si>
  <si>
    <t>block.0.attn.v_conv</t>
  </si>
  <si>
    <t>block.0.attn.v_lif</t>
  </si>
  <si>
    <t>block.0.attn.QKV</t>
  </si>
  <si>
    <t>QKV</t>
  </si>
  <si>
    <t>block.0.attn.f(QKV)</t>
  </si>
  <si>
    <t>f(QKV)</t>
  </si>
  <si>
    <t>tsdsa</t>
  </si>
  <si>
    <t>block.0.attn.kv_before</t>
  </si>
  <si>
    <t>block.0.attn.kv</t>
  </si>
  <si>
    <t>block.0.attn.proj_conv</t>
  </si>
  <si>
    <t>block.0.attn.x_after_kv</t>
  </si>
  <si>
    <t>block.0.attn.TIM.interactor</t>
  </si>
  <si>
    <t>block.0.attn.TIM_in_lif</t>
  </si>
  <si>
    <t>block.0.attn.TIM_out_lif</t>
  </si>
  <si>
    <t>block.0.mlp.fc1_conv</t>
  </si>
  <si>
    <t>block.0.mlp.fc1_lif</t>
  </si>
  <si>
    <t>block.0.mlp.fc2_conv</t>
  </si>
  <si>
    <t>block.0.mlp.fc2_lif</t>
  </si>
  <si>
    <t>block.1.attn.first_lif</t>
  </si>
  <si>
    <t>block.1.attn.q_conv</t>
  </si>
  <si>
    <t>block.1.attn.q_lif</t>
  </si>
  <si>
    <t>block.1.attn.k_conv</t>
  </si>
  <si>
    <t>block.1.attn.k_lif</t>
  </si>
  <si>
    <t>block.1.attn.v_conv</t>
  </si>
  <si>
    <t>block.1.attn.v_lif</t>
  </si>
  <si>
    <t>block.1.attn.QKV</t>
  </si>
  <si>
    <t>block.1.attn.f(QKV)</t>
  </si>
  <si>
    <t>block.1.attn.kv_before</t>
  </si>
  <si>
    <t>block.1.attn.kv</t>
  </si>
  <si>
    <t>block.1.attn.proj_conv</t>
  </si>
  <si>
    <t>block.1.attn.x_after_kv</t>
  </si>
  <si>
    <t>block.1.attn.TIM.interactor</t>
  </si>
  <si>
    <t>block.1.attn.TIM_in_lif</t>
  </si>
  <si>
    <t>block.1.attn.TIM_out_lif</t>
  </si>
  <si>
    <t>block.1.mlp.fc1_conv</t>
  </si>
  <si>
    <t>block.1.mlp.fc1_lif</t>
  </si>
  <si>
    <t>block.1.mlp.fc2_conv</t>
  </si>
  <si>
    <t>block.1.mlp.fc2_lif</t>
  </si>
  <si>
    <t>head_lif</t>
  </si>
  <si>
    <t>head</t>
  </si>
  <si>
    <t>Linear</t>
  </si>
  <si>
    <t>Total_E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</si>
</sst>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tabSelected="1" zoomScaleSheetLayoutView="60" topLeftCell="A25" workbookViewId="0">
      <selection activeCell="C66" sqref="C66"/>
    </sheetView>
  </sheetViews>
  <sheetFormatPr defaultColWidth="10" defaultRowHeight="13.5"/>
  <cols>
    <col min="1" max="1" width="32.4416666666667" customWidth="1"/>
    <col min="3" max="3" width="12.8916666666667"/>
    <col min="10" max="10" width="17.225" customWidth="1"/>
    <col min="12" max="12" width="22.3333333333333" customWidth="1"/>
    <col min="14" max="14" width="12.8916666666667"/>
    <col min="21" max="21" width="12.8916666666667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1">
      <c r="A2" t="s">
        <v>12</v>
      </c>
      <c r="B2" t="s">
        <v>13</v>
      </c>
      <c r="D2">
        <v>3</v>
      </c>
      <c r="E2">
        <v>128</v>
      </c>
      <c r="F2">
        <v>128</v>
      </c>
      <c r="G2">
        <v>2</v>
      </c>
      <c r="H2">
        <v>32</v>
      </c>
      <c r="I2">
        <v>4718592</v>
      </c>
      <c r="J2">
        <v>75497472</v>
      </c>
      <c r="L2">
        <f>PRODUCT(4.6,J2)</f>
        <v>347288371.2</v>
      </c>
      <c r="U2">
        <f>PRODUCT(0.9,)</f>
        <v>0.9</v>
      </c>
    </row>
    <row r="3" spans="1:21">
      <c r="A3" t="s">
        <v>14</v>
      </c>
      <c r="B3" t="s">
        <v>15</v>
      </c>
      <c r="C3">
        <v>0.106049</v>
      </c>
      <c r="F3">
        <v>128</v>
      </c>
      <c r="G3">
        <v>128</v>
      </c>
      <c r="H3">
        <v>32</v>
      </c>
    </row>
    <row r="4" spans="1:21">
      <c r="A4" t="s">
        <v>16</v>
      </c>
      <c r="B4" t="s">
        <v>13</v>
      </c>
      <c r="D4">
        <v>3</v>
      </c>
      <c r="E4">
        <v>64</v>
      </c>
      <c r="F4">
        <v>64</v>
      </c>
      <c r="G4">
        <v>32</v>
      </c>
      <c r="H4">
        <v>64</v>
      </c>
      <c r="I4">
        <v>75497472</v>
      </c>
      <c r="J4">
        <v>1207959552</v>
      </c>
      <c r="L4">
        <f>PRODUCT(0.9,J4,C3)</f>
        <v>115292612.277043</v>
      </c>
    </row>
    <row r="5" spans="1:21">
      <c r="A5" t="s">
        <v>17</v>
      </c>
      <c r="B5" t="s">
        <v>15</v>
      </c>
      <c r="C5">
        <v>0.032361</v>
      </c>
      <c r="F5">
        <v>64</v>
      </c>
      <c r="G5">
        <v>64</v>
      </c>
      <c r="H5">
        <v>64</v>
      </c>
    </row>
    <row r="6" spans="1:21">
      <c r="A6" t="s">
        <v>18</v>
      </c>
      <c r="B6" t="s">
        <v>13</v>
      </c>
      <c r="D6">
        <v>3</v>
      </c>
      <c r="E6">
        <v>32</v>
      </c>
      <c r="F6">
        <v>32</v>
      </c>
      <c r="G6">
        <v>64</v>
      </c>
      <c r="H6">
        <v>128</v>
      </c>
      <c r="I6">
        <v>75497472</v>
      </c>
      <c r="J6">
        <v>1207959552</v>
      </c>
      <c r="L6">
        <f>PRODUCT(0.9,J6,C5)</f>
        <v>35181701.1560448</v>
      </c>
      <c r="N6">
        <f>PRODUCT(0.000000001,SUM(L2:L10))</f>
        <v>0.589978075240858</v>
      </c>
    </row>
    <row r="7" spans="1:21">
      <c r="A7" t="s">
        <v>19</v>
      </c>
      <c r="B7" t="s">
        <v>15</v>
      </c>
      <c r="C7">
        <v>0.032768</v>
      </c>
      <c r="F7">
        <v>32</v>
      </c>
      <c r="G7">
        <v>32</v>
      </c>
      <c r="H7">
        <v>128</v>
      </c>
    </row>
    <row r="8" spans="1:21">
      <c r="A8" t="s">
        <v>20</v>
      </c>
      <c r="B8" t="s">
        <v>13</v>
      </c>
      <c r="D8">
        <v>3</v>
      </c>
      <c r="E8">
        <v>16</v>
      </c>
      <c r="F8">
        <v>16</v>
      </c>
      <c r="G8">
        <v>128</v>
      </c>
      <c r="H8">
        <v>256</v>
      </c>
      <c r="I8">
        <v>75497472</v>
      </c>
      <c r="J8">
        <v>1207959552</v>
      </c>
      <c r="L8">
        <f>PRODUCT(0.9,J8,C7)</f>
        <v>35624176.7399424</v>
      </c>
    </row>
    <row r="9" spans="1:21">
      <c r="A9" t="s">
        <v>21</v>
      </c>
      <c r="B9" t="s">
        <v>15</v>
      </c>
      <c r="C9">
        <v>0.104108</v>
      </c>
      <c r="F9">
        <v>16</v>
      </c>
      <c r="G9">
        <v>16</v>
      </c>
      <c r="H9">
        <v>256</v>
      </c>
    </row>
    <row r="10" spans="1:21">
      <c r="A10" t="s">
        <v>22</v>
      </c>
      <c r="B10" t="s">
        <v>13</v>
      </c>
      <c r="D10">
        <v>3</v>
      </c>
      <c r="E10">
        <v>8</v>
      </c>
      <c r="F10">
        <v>8</v>
      </c>
      <c r="G10">
        <v>256</v>
      </c>
      <c r="H10">
        <v>256</v>
      </c>
      <c r="I10">
        <v>37748736</v>
      </c>
      <c r="J10">
        <v>603979776</v>
      </c>
      <c r="L10">
        <f>PRODUCT(0.9,J10,C9)</f>
        <v>56591213.8678272</v>
      </c>
    </row>
    <row r="11" spans="1:21">
      <c r="A11" t="s">
        <v>23</v>
      </c>
      <c r="B11" t="s">
        <v>15</v>
      </c>
      <c r="C11">
        <v>0.104108</v>
      </c>
      <c r="F11">
        <v>8</v>
      </c>
      <c r="G11">
        <v>8</v>
      </c>
      <c r="H11">
        <v>256</v>
      </c>
    </row>
    <row r="13" spans="1:21">
      <c r="A13" t="s">
        <v>24</v>
      </c>
      <c r="B13" t="s">
        <v>15</v>
      </c>
      <c r="C13">
        <v>0.201269</v>
      </c>
      <c r="F13">
        <v>8</v>
      </c>
      <c r="G13">
        <v>8</v>
      </c>
      <c r="H13">
        <v>256</v>
      </c>
    </row>
    <row r="14" spans="1:21">
      <c r="A14" t="s">
        <v>25</v>
      </c>
      <c r="B14" t="s">
        <v>13</v>
      </c>
      <c r="D14">
        <v>1</v>
      </c>
      <c r="E14">
        <v>1</v>
      </c>
      <c r="F14">
        <v>64</v>
      </c>
      <c r="G14">
        <v>256</v>
      </c>
      <c r="H14">
        <v>256</v>
      </c>
      <c r="I14">
        <v>4194304</v>
      </c>
      <c r="J14">
        <v>67108864</v>
      </c>
      <c r="L14">
        <f>PRODUCT(0.9,J14,C13)</f>
        <v>12156240.5535744</v>
      </c>
    </row>
    <row r="15" spans="1:21">
      <c r="A15" t="s">
        <v>26</v>
      </c>
      <c r="B15" t="s">
        <v>15</v>
      </c>
      <c r="C15">
        <v>0.28127</v>
      </c>
      <c r="H15">
        <v>256</v>
      </c>
    </row>
    <row r="16" spans="1:21">
      <c r="A16" t="s">
        <v>27</v>
      </c>
      <c r="B16" t="s">
        <v>13</v>
      </c>
      <c r="D16">
        <v>1</v>
      </c>
      <c r="E16">
        <v>1</v>
      </c>
      <c r="F16">
        <v>64</v>
      </c>
      <c r="G16">
        <v>256</v>
      </c>
      <c r="H16">
        <v>256</v>
      </c>
      <c r="I16">
        <v>4194304</v>
      </c>
      <c r="J16">
        <v>67108864</v>
      </c>
      <c r="L16">
        <f>PRODUCT(0.9,J16,C13)</f>
        <v>12156240.5535744</v>
      </c>
    </row>
    <row r="17" spans="1:14">
      <c r="A17" t="s">
        <v>28</v>
      </c>
      <c r="B17" t="s">
        <v>15</v>
      </c>
      <c r="C17">
        <v>0.405928</v>
      </c>
      <c r="H17">
        <v>256</v>
      </c>
    </row>
    <row r="18" spans="1:14">
      <c r="A18" t="s">
        <v>29</v>
      </c>
      <c r="B18" t="s">
        <v>13</v>
      </c>
      <c r="D18">
        <v>1</v>
      </c>
      <c r="E18">
        <v>1</v>
      </c>
      <c r="F18">
        <v>64</v>
      </c>
      <c r="G18">
        <v>256</v>
      </c>
      <c r="H18">
        <v>256</v>
      </c>
      <c r="I18">
        <v>4194304</v>
      </c>
      <c r="J18">
        <v>67108864</v>
      </c>
      <c r="L18">
        <f>PRODUCT(0.9,J18,C13)</f>
        <v>12156240.5535744</v>
      </c>
    </row>
    <row r="19" spans="1:14">
      <c r="A19" t="s">
        <v>30</v>
      </c>
      <c r="B19" t="s">
        <v>15</v>
      </c>
      <c r="C19">
        <v>0.409517</v>
      </c>
      <c r="H19">
        <v>256</v>
      </c>
    </row>
    <row r="20" spans="1:14">
      <c r="A20" t="s">
        <v>31</v>
      </c>
      <c r="B20" t="s">
        <v>32</v>
      </c>
      <c r="C20">
        <v>0.365572</v>
      </c>
      <c r="F20">
        <v>64</v>
      </c>
      <c r="G20">
        <v>16</v>
      </c>
      <c r="I20">
        <v>196608</v>
      </c>
      <c r="J20">
        <v>1149805.9</v>
      </c>
    </row>
    <row r="21" spans="1:14">
      <c r="A21" t="s">
        <v>33</v>
      </c>
      <c r="B21" t="s">
        <v>34</v>
      </c>
      <c r="C21">
        <v>0.365572</v>
      </c>
      <c r="F21">
        <v>64</v>
      </c>
      <c r="G21">
        <v>16</v>
      </c>
      <c r="I21">
        <v>5993.26</v>
      </c>
      <c r="J21">
        <v>5993.26</v>
      </c>
      <c r="L21">
        <f>PRODUCT(F21,G21,H19,16,AVERAGE(C15,C17,C19),0.9)</f>
        <v>1379986.833408</v>
      </c>
      <c r="M21" t="s">
        <v>35</v>
      </c>
      <c r="N21">
        <f>PRODUCT(0.000000001,SUM(L14:L31))</f>
        <v>0.11760660405289</v>
      </c>
    </row>
    <row r="22" spans="1:14">
      <c r="A22" t="s">
        <v>36</v>
      </c>
      <c r="B22" t="s">
        <v>15</v>
      </c>
      <c r="C22">
        <v>0.191925</v>
      </c>
    </row>
    <row r="23" spans="1:14">
      <c r="A23" t="s">
        <v>37</v>
      </c>
      <c r="B23" t="s">
        <v>15</v>
      </c>
      <c r="C23">
        <v>0.967851</v>
      </c>
    </row>
    <row r="24" spans="1:14">
      <c r="A24" t="s">
        <v>38</v>
      </c>
      <c r="B24" t="s">
        <v>13</v>
      </c>
      <c r="D24">
        <v>1</v>
      </c>
      <c r="E24">
        <v>1</v>
      </c>
      <c r="F24">
        <v>64</v>
      </c>
      <c r="G24">
        <v>256</v>
      </c>
      <c r="H24">
        <v>256</v>
      </c>
      <c r="I24">
        <v>4194304</v>
      </c>
      <c r="J24">
        <v>67108864</v>
      </c>
      <c r="L24">
        <f>PRODUCT(0.9,J24,C21)</f>
        <v>22079809.4671872</v>
      </c>
    </row>
    <row r="25" spans="1:14">
      <c r="A25" t="s">
        <v>39</v>
      </c>
      <c r="B25" t="s">
        <v>15</v>
      </c>
      <c r="C25">
        <v>0.967851</v>
      </c>
    </row>
    <row r="26" spans="1:14">
      <c r="A26" t="s">
        <v>40</v>
      </c>
      <c r="B26" t="s">
        <v>13</v>
      </c>
      <c r="D26">
        <v>5</v>
      </c>
      <c r="E26">
        <v>1</v>
      </c>
      <c r="F26">
        <v>64</v>
      </c>
      <c r="G26">
        <v>16</v>
      </c>
      <c r="H26">
        <v>16</v>
      </c>
      <c r="I26">
        <v>409600</v>
      </c>
      <c r="J26">
        <v>6553600</v>
      </c>
      <c r="L26">
        <f>PRODUCT(0.9,J26,C13)</f>
        <v>1187132.86656</v>
      </c>
    </row>
    <row r="27" spans="1:14">
      <c r="A27" t="s">
        <v>41</v>
      </c>
      <c r="B27" t="s">
        <v>15</v>
      </c>
      <c r="C27">
        <v>0.806247</v>
      </c>
    </row>
    <row r="28" spans="1:14">
      <c r="A28" t="s">
        <v>42</v>
      </c>
      <c r="B28" t="s">
        <v>15</v>
      </c>
      <c r="C28">
        <v>0.000294</v>
      </c>
    </row>
    <row r="29" spans="1:14">
      <c r="A29" t="s">
        <v>43</v>
      </c>
      <c r="B29" t="s">
        <v>13</v>
      </c>
      <c r="D29">
        <v>1</v>
      </c>
      <c r="E29">
        <v>8</v>
      </c>
      <c r="F29">
        <v>8</v>
      </c>
      <c r="G29">
        <v>256</v>
      </c>
      <c r="H29">
        <v>1024</v>
      </c>
      <c r="I29">
        <v>16777216</v>
      </c>
      <c r="J29">
        <v>268435456</v>
      </c>
      <c r="L29">
        <f>PRODUCT(0.9,J29,C30)</f>
        <v>51849731.0343168</v>
      </c>
    </row>
    <row r="30" spans="1:14">
      <c r="A30" t="s">
        <v>44</v>
      </c>
      <c r="B30" t="s">
        <v>15</v>
      </c>
      <c r="C30">
        <v>0.214617</v>
      </c>
      <c r="F30">
        <v>8</v>
      </c>
      <c r="G30">
        <v>8</v>
      </c>
      <c r="H30">
        <v>1024</v>
      </c>
    </row>
    <row r="31" spans="1:14">
      <c r="A31" t="s">
        <v>45</v>
      </c>
      <c r="B31" t="s">
        <v>13</v>
      </c>
      <c r="D31">
        <v>1</v>
      </c>
      <c r="E31">
        <v>8</v>
      </c>
      <c r="F31">
        <v>8</v>
      </c>
      <c r="G31">
        <v>1024</v>
      </c>
      <c r="H31">
        <v>256</v>
      </c>
      <c r="I31">
        <v>16777216</v>
      </c>
      <c r="J31">
        <v>268435456</v>
      </c>
      <c r="L31">
        <f>PRODUCT(0.9,J31,C32)</f>
        <v>4641222.1906944</v>
      </c>
    </row>
    <row r="32" spans="1:14">
      <c r="A32" t="s">
        <v>46</v>
      </c>
      <c r="B32" t="s">
        <v>15</v>
      </c>
      <c r="C32">
        <v>0.019211</v>
      </c>
      <c r="F32">
        <v>8</v>
      </c>
      <c r="G32">
        <v>8</v>
      </c>
      <c r="H32">
        <v>256</v>
      </c>
    </row>
    <row r="34" spans="1:14">
      <c r="A34" t="s">
        <v>47</v>
      </c>
      <c r="B34" t="s">
        <v>15</v>
      </c>
      <c r="C34">
        <v>0.201269</v>
      </c>
      <c r="F34">
        <v>8</v>
      </c>
      <c r="G34">
        <v>8</v>
      </c>
      <c r="H34">
        <v>256</v>
      </c>
    </row>
    <row r="35" spans="1:14">
      <c r="A35" t="s">
        <v>48</v>
      </c>
      <c r="B35" t="s">
        <v>13</v>
      </c>
      <c r="D35">
        <v>1</v>
      </c>
      <c r="E35">
        <v>1</v>
      </c>
      <c r="F35">
        <v>64</v>
      </c>
      <c r="G35">
        <v>256</v>
      </c>
      <c r="H35">
        <v>256</v>
      </c>
      <c r="I35">
        <v>4194304</v>
      </c>
      <c r="J35">
        <v>67108864</v>
      </c>
      <c r="L35">
        <f>PRODUCT(0.9,,J35,C34)</f>
        <v>12156240.5535744</v>
      </c>
    </row>
    <row r="36" spans="1:14">
      <c r="A36" t="s">
        <v>49</v>
      </c>
      <c r="B36" t="s">
        <v>15</v>
      </c>
      <c r="C36">
        <v>0.28127</v>
      </c>
      <c r="H36">
        <v>256</v>
      </c>
    </row>
    <row r="37" spans="1:14">
      <c r="A37" t="s">
        <v>50</v>
      </c>
      <c r="B37" t="s">
        <v>13</v>
      </c>
      <c r="D37">
        <v>1</v>
      </c>
      <c r="E37">
        <v>1</v>
      </c>
      <c r="F37">
        <v>64</v>
      </c>
      <c r="G37">
        <v>256</v>
      </c>
      <c r="H37">
        <v>256</v>
      </c>
      <c r="I37">
        <v>4194304</v>
      </c>
      <c r="J37">
        <v>67108864</v>
      </c>
      <c r="L37">
        <f>PRODUCT(0.9,J37,C34)</f>
        <v>12156240.5535744</v>
      </c>
    </row>
    <row r="38" spans="1:14">
      <c r="A38" t="s">
        <v>51</v>
      </c>
      <c r="B38" t="s">
        <v>15</v>
      </c>
      <c r="C38">
        <v>0.405928</v>
      </c>
      <c r="H38">
        <v>256</v>
      </c>
    </row>
    <row r="39" spans="1:14">
      <c r="A39" t="s">
        <v>52</v>
      </c>
      <c r="B39" t="s">
        <v>13</v>
      </c>
      <c r="D39">
        <v>1</v>
      </c>
      <c r="E39">
        <v>1</v>
      </c>
      <c r="F39">
        <v>64</v>
      </c>
      <c r="G39">
        <v>256</v>
      </c>
      <c r="H39">
        <v>256</v>
      </c>
      <c r="I39">
        <v>4194304</v>
      </c>
      <c r="J39">
        <v>67108864</v>
      </c>
      <c r="L39">
        <f>PRODUCT(0.9,J39,C34)</f>
        <v>12156240.5535744</v>
      </c>
    </row>
    <row r="40" spans="1:14">
      <c r="A40" t="s">
        <v>53</v>
      </c>
      <c r="B40" t="s">
        <v>15</v>
      </c>
      <c r="C40">
        <v>0.409517</v>
      </c>
      <c r="H40">
        <v>256</v>
      </c>
    </row>
    <row r="41" spans="1:14">
      <c r="A41" t="s">
        <v>54</v>
      </c>
      <c r="B41" t="s">
        <v>32</v>
      </c>
      <c r="C41">
        <v>0.365572</v>
      </c>
      <c r="F41">
        <v>64</v>
      </c>
      <c r="G41">
        <v>16</v>
      </c>
      <c r="I41">
        <v>196608</v>
      </c>
      <c r="J41">
        <v>1149805.9</v>
      </c>
    </row>
    <row r="42" spans="1:14">
      <c r="A42" t="s">
        <v>55</v>
      </c>
      <c r="B42" t="s">
        <v>34</v>
      </c>
      <c r="C42">
        <v>0.365572</v>
      </c>
      <c r="F42">
        <v>64</v>
      </c>
      <c r="G42">
        <v>16</v>
      </c>
      <c r="I42">
        <v>5993.26</v>
      </c>
      <c r="J42">
        <v>5993.26</v>
      </c>
      <c r="L42">
        <f>PRODUCT(F42,G42,H40,16,0.9,AVERAGE(C36,C38,C40))</f>
        <v>1379986.833408</v>
      </c>
      <c r="M42" t="s">
        <v>35</v>
      </c>
      <c r="N42">
        <f>PRODUCT(0.000000001,SUM(L35:L55))</f>
        <v>0.117606648315034</v>
      </c>
    </row>
    <row r="43" spans="1:14">
      <c r="A43" t="s">
        <v>56</v>
      </c>
      <c r="B43" t="s">
        <v>15</v>
      </c>
      <c r="C43">
        <v>0.191925</v>
      </c>
    </row>
    <row r="44" spans="1:14">
      <c r="A44" t="s">
        <v>57</v>
      </c>
      <c r="B44" t="s">
        <v>15</v>
      </c>
      <c r="C44">
        <v>0.967851</v>
      </c>
    </row>
    <row r="45" spans="1:14">
      <c r="A45" t="s">
        <v>58</v>
      </c>
      <c r="B45" t="s">
        <v>13</v>
      </c>
      <c r="D45">
        <v>1</v>
      </c>
      <c r="E45">
        <v>1</v>
      </c>
      <c r="F45">
        <v>64</v>
      </c>
      <c r="G45">
        <v>256</v>
      </c>
      <c r="H45">
        <v>256</v>
      </c>
      <c r="I45">
        <v>4194304</v>
      </c>
      <c r="J45">
        <v>67108864</v>
      </c>
      <c r="L45">
        <f>PRODUCT(0.9,J45,C42)</f>
        <v>22079809.4671872</v>
      </c>
    </row>
    <row r="46" spans="1:14">
      <c r="A46" t="s">
        <v>59</v>
      </c>
      <c r="B46" t="s">
        <v>15</v>
      </c>
      <c r="C46">
        <v>0.967851</v>
      </c>
    </row>
    <row r="47" spans="1:14">
      <c r="A47" t="s">
        <v>60</v>
      </c>
      <c r="B47" t="s">
        <v>13</v>
      </c>
      <c r="D47">
        <v>5</v>
      </c>
      <c r="E47">
        <v>1</v>
      </c>
      <c r="F47">
        <v>64</v>
      </c>
      <c r="G47">
        <v>16</v>
      </c>
      <c r="H47">
        <v>16</v>
      </c>
      <c r="I47">
        <v>409600</v>
      </c>
      <c r="J47">
        <v>6553600</v>
      </c>
      <c r="L47">
        <f>PRODUCT(0.9,J47,C34)</f>
        <v>1187132.86656</v>
      </c>
    </row>
    <row r="48" spans="1:14">
      <c r="A48" t="s">
        <v>61</v>
      </c>
      <c r="B48" t="s">
        <v>15</v>
      </c>
      <c r="C48">
        <v>0.806247</v>
      </c>
    </row>
    <row r="49" spans="1:13">
      <c r="A49" t="s">
        <v>62</v>
      </c>
      <c r="B49" t="s">
        <v>15</v>
      </c>
      <c r="C49">
        <v>0.000294</v>
      </c>
    </row>
    <row r="50" spans="1:13">
      <c r="A50" t="s">
        <v>63</v>
      </c>
      <c r="B50" t="s">
        <v>13</v>
      </c>
      <c r="D50">
        <v>1</v>
      </c>
      <c r="E50">
        <v>8</v>
      </c>
      <c r="F50">
        <v>8</v>
      </c>
      <c r="G50">
        <v>256</v>
      </c>
      <c r="H50">
        <v>1024</v>
      </c>
      <c r="I50">
        <v>16777216</v>
      </c>
      <c r="J50">
        <v>268435456</v>
      </c>
      <c r="L50">
        <f>PRODUCT(0.9,J50,C51)</f>
        <v>51849731.0343168</v>
      </c>
    </row>
    <row r="51" spans="1:13">
      <c r="A51" t="s">
        <v>64</v>
      </c>
      <c r="B51" t="s">
        <v>15</v>
      </c>
      <c r="C51">
        <v>0.214617</v>
      </c>
      <c r="F51">
        <v>8</v>
      </c>
      <c r="G51">
        <v>8</v>
      </c>
      <c r="H51">
        <v>1024</v>
      </c>
    </row>
    <row r="52" spans="1:13">
      <c r="A52" t="s">
        <v>65</v>
      </c>
      <c r="B52" t="s">
        <v>13</v>
      </c>
      <c r="D52">
        <v>1</v>
      </c>
      <c r="E52">
        <v>8</v>
      </c>
      <c r="F52">
        <v>8</v>
      </c>
      <c r="G52">
        <v>1024</v>
      </c>
      <c r="H52">
        <v>256</v>
      </c>
      <c r="I52">
        <v>16777216</v>
      </c>
      <c r="J52">
        <v>268435456</v>
      </c>
      <c r="L52">
        <f>PRODUCT(0.9,J52,C53)</f>
        <v>4641222.1906944</v>
      </c>
    </row>
    <row r="53" spans="1:13">
      <c r="A53" t="s">
        <v>66</v>
      </c>
      <c r="B53" t="s">
        <v>15</v>
      </c>
      <c r="C53">
        <v>0.019211</v>
      </c>
      <c r="F53">
        <v>8</v>
      </c>
      <c r="G53">
        <v>8</v>
      </c>
      <c r="H53">
        <v>256</v>
      </c>
    </row>
    <row r="54" spans="1:13">
      <c r="A54" t="s">
        <v>67</v>
      </c>
      <c r="B54" t="s">
        <v>15</v>
      </c>
      <c r="C54">
        <v>0.019211</v>
      </c>
    </row>
    <row r="55" spans="1:13">
      <c r="A55" t="s">
        <v>68</v>
      </c>
      <c r="B55" t="s">
        <v>69</v>
      </c>
      <c r="C55">
        <v>0.019211</v>
      </c>
      <c r="H55">
        <v>256</v>
      </c>
      <c r="I55">
        <v>10</v>
      </c>
      <c r="J55">
        <v>2560</v>
      </c>
      <c r="L55">
        <f>PRODUCT(J55,C54,0.9)</f>
        <v>44.262144</v>
      </c>
      <c r="M55">
        <v>7.079e-7</v>
      </c>
    </row>
    <row r="66" spans="2:3">
      <c r="B66" t="s">
        <v>70</v>
      </c>
      <c r="C66">
        <f>SUM(N6:N42)</f>
        <v>0.825191327608781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vit_snn_energy_new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李奕星</cp:lastModifiedBy>
  <dcterms:created xsi:type="dcterms:W3CDTF">2025-06-10T06:11:00Z</dcterms:created>
  <dcterms:modified xsi:type="dcterms:W3CDTF">2026-10-15T09:33:28Z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06E235041DD44F54B14ABB58A5673C91_13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